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Lancamentos" sheetId="2" state="visible" r:id="rId2"/>
    <sheet name="Cartoes" sheetId="3" state="visible" r:id="rId3"/>
    <sheet name="Me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9"/>
    </font>
    <font>
      <name val="Segoe UI"/>
      <b val="1"/>
      <color rgb="0064748B"/>
      <sz val="9"/>
    </font>
    <font>
      <name val="Segoe UI"/>
      <b val="1"/>
      <color rgb="00059669"/>
      <sz val="14"/>
    </font>
    <font>
      <name val="Segoe UI"/>
      <b val="1"/>
      <color rgb="00DC2626"/>
      <sz val="14"/>
    </font>
    <font>
      <name val="Segoe UI"/>
      <b val="1"/>
      <color rgb="002563EB"/>
      <sz val="14"/>
    </font>
    <font>
      <name val="Segoe UI"/>
      <b val="1"/>
      <color rgb="007C3AED"/>
      <sz val="14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059669"/>
      <sz val="10"/>
    </font>
    <font>
      <name val="Segoe UI"/>
      <b val="1"/>
      <color rgb="00DC2626"/>
      <sz val="10"/>
    </font>
    <font>
      <name val="Segoe UI"/>
      <b val="1"/>
      <color rgb="002563EB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164" fontId="11" fillId="0" borderId="2" applyAlignment="1" pivotButton="0" quotePrefix="0" xfId="0">
      <alignment horizontal="right" vertical="center"/>
    </xf>
    <xf numFmtId="165" fontId="11" fillId="0" borderId="2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4" fontId="13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5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Divisão de 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Dashboard'!C10</f>
            </strRef>
          </tx>
          <spPr>
            <a:ln>
              <a:prstDash val="solid"/>
            </a:ln>
          </spPr>
          <cat>
            <numRef>
              <f>'📊 Dashboard'!$B$11:$B$18</f>
            </numRef>
          </cat>
          <val>
            <numRef>
              <f>'📊 Dashboard'!$C$11:$C$18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0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3" customWidth="1" min="2" max="2"/>
    <col width="102" customWidth="1" min="3" max="3"/>
    <col width="63" customWidth="1" min="4" max="4"/>
    <col width="15" customWidth="1" min="5" max="5"/>
    <col width="18" customWidth="1" min="6" max="6"/>
    <col width="15" customWidth="1" min="7" max="7"/>
    <col width="23" customWidth="1" min="8" max="8"/>
    <col width="15" customWidth="1" min="9" max="9"/>
  </cols>
  <sheetData>
    <row r="1"/>
    <row r="2" ht="36" customHeight="1">
      <c r="B2" s="1" t="inlineStr">
        <is>
          <t>💰 CONTROLE FINANCEIRO INTELIGENTE 2026 - VERSÃO PRO</t>
        </is>
      </c>
    </row>
    <row r="3" ht="18" customHeight="1">
      <c r="B3" s="2" t="inlineStr">
        <is>
          <t>Resumo automático de receitas, despesas e saldo atual | Atualizado em tempo real</t>
        </is>
      </c>
    </row>
    <row r="4"/>
    <row r="5" ht="18" customHeight="1">
      <c r="B5" s="3" t="inlineStr">
        <is>
          <t>TOTAL RECEITAS</t>
        </is>
      </c>
      <c r="C5" s="4" t="n"/>
      <c r="D5" s="5" t="inlineStr">
        <is>
          <t>TOTAL DESPESAS</t>
        </is>
      </c>
      <c r="E5" s="4" t="n"/>
      <c r="F5" s="6" t="inlineStr">
        <is>
          <t>SALDO RESTANTE</t>
        </is>
      </c>
      <c r="G5" s="4" t="n"/>
      <c r="H5" s="7" t="inlineStr">
        <is>
          <t>% ECONOMIZADA</t>
        </is>
      </c>
      <c r="I5" s="4" t="n"/>
    </row>
    <row r="6" ht="28" customHeight="1">
      <c r="B6" s="8">
        <f>SUMIF(Lancamentos!C5:C100, "Receita", Lancamentos!G5:G100)</f>
        <v/>
      </c>
      <c r="C6" s="4" t="n"/>
      <c r="D6" s="9">
        <f>SUMIF(Lancamentos!C5:C100, "Despesa", Lancamentos!G5:G100)</f>
        <v/>
      </c>
      <c r="E6" s="4" t="n"/>
      <c r="F6" s="10">
        <f>B6-D6</f>
        <v/>
      </c>
      <c r="G6" s="4" t="n"/>
      <c r="H6" s="11">
        <f>IF(B6&gt;0, F6/B6, 0)</f>
        <v/>
      </c>
      <c r="I6" s="4" t="n"/>
    </row>
    <row r="7"/>
    <row r="8"/>
    <row r="9" ht="24" customHeight="1">
      <c r="B9" s="12" t="inlineStr">
        <is>
          <t>📌 DESPESAS POR CATEGORIA</t>
        </is>
      </c>
    </row>
    <row r="10" ht="22" customHeight="1">
      <c r="B10" s="13" t="inlineStr">
        <is>
          <t>Categoria</t>
        </is>
      </c>
      <c r="C10" s="13" t="inlineStr">
        <is>
          <t>Valor Total</t>
        </is>
      </c>
      <c r="D10" s="13" t="inlineStr">
        <is>
          <t>% do Gasto</t>
        </is>
      </c>
    </row>
    <row r="11" ht="20" customHeight="1">
      <c r="B11" s="14" t="inlineStr">
        <is>
          <t>Moradia</t>
        </is>
      </c>
      <c r="C11" s="15">
        <f>SUMIFS(Lancamentos!$G$5:$G$100, Lancamentos!$C$5:$C$100, "Despesa", Lancamentos!$D$5:$D$100, B11)</f>
        <v/>
      </c>
      <c r="D11" s="16">
        <f>IF($D$6&gt;0, C11/$D$6, 0)</f>
        <v/>
      </c>
    </row>
    <row r="12" ht="20" customHeight="1">
      <c r="B12" s="17" t="inlineStr">
        <is>
          <t>Alimentação</t>
        </is>
      </c>
      <c r="C12" s="18">
        <f>SUMIFS(Lancamentos!$G$5:$G$100, Lancamentos!$C$5:$C$100, "Despesa", Lancamentos!$D$5:$D$100, B12)</f>
        <v/>
      </c>
      <c r="D12" s="19">
        <f>IF($D$6&gt;0, C12/$D$6, 0)</f>
        <v/>
      </c>
    </row>
    <row r="13" ht="20" customHeight="1">
      <c r="B13" s="14" t="inlineStr">
        <is>
          <t>Transporte</t>
        </is>
      </c>
      <c r="C13" s="15">
        <f>SUMIFS(Lancamentos!$G$5:$G$100, Lancamentos!$C$5:$C$100, "Despesa", Lancamentos!$D$5:$D$100, B13)</f>
        <v/>
      </c>
      <c r="D13" s="16">
        <f>IF($D$6&gt;0, C13/$D$6, 0)</f>
        <v/>
      </c>
    </row>
    <row r="14" ht="20" customHeight="1">
      <c r="B14" s="17" t="inlineStr">
        <is>
          <t>Saúde</t>
        </is>
      </c>
      <c r="C14" s="18">
        <f>SUMIFS(Lancamentos!$G$5:$G$100, Lancamentos!$C$5:$C$100, "Despesa", Lancamentos!$D$5:$D$100, B14)</f>
        <v/>
      </c>
      <c r="D14" s="19">
        <f>IF($D$6&gt;0, C14/$D$6, 0)</f>
        <v/>
      </c>
    </row>
    <row r="15" ht="20" customHeight="1">
      <c r="B15" s="14" t="inlineStr">
        <is>
          <t>Lazer</t>
        </is>
      </c>
      <c r="C15" s="15">
        <f>SUMIFS(Lancamentos!$G$5:$G$100, Lancamentos!$C$5:$C$100, "Despesa", Lancamentos!$D$5:$D$100, B15)</f>
        <v/>
      </c>
      <c r="D15" s="16">
        <f>IF($D$6&gt;0, C15/$D$6, 0)</f>
        <v/>
      </c>
    </row>
    <row r="16" ht="20" customHeight="1">
      <c r="B16" s="17" t="inlineStr">
        <is>
          <t>Educação</t>
        </is>
      </c>
      <c r="C16" s="18">
        <f>SUMIFS(Lancamentos!$G$5:$G$100, Lancamentos!$C$5:$C$100, "Despesa", Lancamentos!$D$5:$D$100, B16)</f>
        <v/>
      </c>
      <c r="D16" s="19">
        <f>IF($D$6&gt;0, C16/$D$6, 0)</f>
        <v/>
      </c>
    </row>
    <row r="17" ht="20" customHeight="1">
      <c r="B17" s="14" t="inlineStr">
        <is>
          <t>Assinaturas &amp; Serviços</t>
        </is>
      </c>
      <c r="C17" s="15">
        <f>SUMIFS(Lancamentos!$G$5:$G$100, Lancamentos!$C$5:$C$100, "Despesa", Lancamentos!$D$5:$D$100, B17)</f>
        <v/>
      </c>
      <c r="D17" s="16">
        <f>IF($D$6&gt;0, C17/$D$6, 0)</f>
        <v/>
      </c>
    </row>
    <row r="18" ht="20" customHeight="1">
      <c r="B18" s="17" t="inlineStr">
        <is>
          <t>Outros</t>
        </is>
      </c>
      <c r="C18" s="18">
        <f>SUMIFS(Lancamentos!$G$5:$G$100, Lancamentos!$C$5:$C$100, "Despesa", Lancamentos!$D$5:$D$100, B18)</f>
        <v/>
      </c>
      <c r="D18" s="19">
        <f>IF($D$6&gt;0, C18/$D$6, 0)</f>
        <v/>
      </c>
    </row>
    <row r="19" ht="22" customHeight="1">
      <c r="B19" s="20" t="inlineStr">
        <is>
          <t>TOTAL</t>
        </is>
      </c>
      <c r="C19" s="21">
        <f>SUM(C11:C18)</f>
        <v/>
      </c>
      <c r="D19" s="22">
        <f>SUM(D11:D18)</f>
        <v/>
      </c>
    </row>
  </sheetData>
  <mergeCells count="11">
    <mergeCell ref="D6:E6"/>
    <mergeCell ref="B6:C6"/>
    <mergeCell ref="H6:I6"/>
    <mergeCell ref="B5:C5"/>
    <mergeCell ref="B2:I2"/>
    <mergeCell ref="F5:G5"/>
    <mergeCell ref="D5:E5"/>
    <mergeCell ref="B9:D9"/>
    <mergeCell ref="B3:I3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26" customWidth="1" min="4" max="4"/>
    <col width="33" customWidth="1" min="5" max="5"/>
    <col width="21" customWidth="1" min="6" max="6"/>
    <col width="15" customWidth="1" min="7" max="7"/>
    <col width="15" customWidth="1" min="8" max="8"/>
  </cols>
  <sheetData>
    <row r="1"/>
    <row r="2" ht="32" customHeight="1">
      <c r="B2" s="1" t="inlineStr">
        <is>
          <t>REGISTRO DE RECEITAS E DESPESAS</t>
        </is>
      </c>
    </row>
    <row r="3" ht="18" customHeight="1">
      <c r="B3" s="2" t="inlineStr">
        <is>
          <t>Preencha suas movimentações abaixo. Os cálculos do Dashboard atualizam automaticamente.</t>
        </is>
      </c>
    </row>
    <row r="4" ht="22" customHeight="1">
      <c r="B4" s="13" t="inlineStr">
        <is>
          <t>Data</t>
        </is>
      </c>
      <c r="C4" s="13" t="inlineStr">
        <is>
          <t>Tipo</t>
        </is>
      </c>
      <c r="D4" s="13" t="inlineStr">
        <is>
          <t>Categoria</t>
        </is>
      </c>
      <c r="E4" s="13" t="inlineStr">
        <is>
          <t>Descrição</t>
        </is>
      </c>
      <c r="F4" s="13" t="inlineStr">
        <is>
          <t>Forma Pagamento</t>
        </is>
      </c>
      <c r="G4" s="13" t="inlineStr">
        <is>
          <t>Valor (R$)</t>
        </is>
      </c>
      <c r="H4" s="13" t="inlineStr">
        <is>
          <t>Status</t>
        </is>
      </c>
    </row>
    <row r="5" ht="20" customHeight="1">
      <c r="B5" s="23" t="inlineStr">
        <is>
          <t>05/03/2026</t>
        </is>
      </c>
      <c r="C5" s="24" t="inlineStr">
        <is>
          <t>Receita</t>
        </is>
      </c>
      <c r="D5" s="14" t="inlineStr">
        <is>
          <t>Salário / Proventos</t>
        </is>
      </c>
      <c r="E5" s="14" t="inlineStr">
        <is>
          <t>Salário Mensal Principal</t>
        </is>
      </c>
      <c r="F5" s="23" t="inlineStr">
        <is>
          <t>PIX</t>
        </is>
      </c>
      <c r="G5" s="25" t="n">
        <v>4500</v>
      </c>
      <c r="H5" s="24" t="inlineStr">
        <is>
          <t>Recebido</t>
        </is>
      </c>
    </row>
    <row r="6" ht="20" customHeight="1">
      <c r="B6" s="26" t="inlineStr">
        <is>
          <t>06/03/2026</t>
        </is>
      </c>
      <c r="C6" s="27" t="inlineStr">
        <is>
          <t>Receita</t>
        </is>
      </c>
      <c r="D6" s="17" t="inlineStr">
        <is>
          <t>Renda Extra</t>
        </is>
      </c>
      <c r="E6" s="17" t="inlineStr">
        <is>
          <t>Vendas Kiwify (Infoproduto)</t>
        </is>
      </c>
      <c r="F6" s="26" t="inlineStr">
        <is>
          <t>PIX</t>
        </is>
      </c>
      <c r="G6" s="28" t="n">
        <v>650</v>
      </c>
      <c r="H6" s="27" t="inlineStr">
        <is>
          <t>Recebido</t>
        </is>
      </c>
    </row>
    <row r="7" ht="20" customHeight="1">
      <c r="B7" s="23" t="inlineStr">
        <is>
          <t>07/03/2026</t>
        </is>
      </c>
      <c r="C7" s="29" t="inlineStr">
        <is>
          <t>Despesa</t>
        </is>
      </c>
      <c r="D7" s="14" t="inlineStr">
        <is>
          <t>Moradia</t>
        </is>
      </c>
      <c r="E7" s="14" t="inlineStr">
        <is>
          <t>Aluguel e Condomínio</t>
        </is>
      </c>
      <c r="F7" s="23" t="inlineStr">
        <is>
          <t>Boleto</t>
        </is>
      </c>
      <c r="G7" s="25" t="n">
        <v>1400</v>
      </c>
      <c r="H7" s="24" t="inlineStr">
        <is>
          <t>Pago</t>
        </is>
      </c>
    </row>
    <row r="8" ht="20" customHeight="1">
      <c r="B8" s="26" t="inlineStr">
        <is>
          <t>08/03/2026</t>
        </is>
      </c>
      <c r="C8" s="30" t="inlineStr">
        <is>
          <t>Despesa</t>
        </is>
      </c>
      <c r="D8" s="17" t="inlineStr">
        <is>
          <t>Alimentação</t>
        </is>
      </c>
      <c r="E8" s="17" t="inlineStr">
        <is>
          <t>Compras do Mês Supermercado</t>
        </is>
      </c>
      <c r="F8" s="26" t="inlineStr">
        <is>
          <t>Cartão de Crédito</t>
        </is>
      </c>
      <c r="G8" s="28" t="n">
        <v>720.5</v>
      </c>
      <c r="H8" s="27" t="inlineStr">
        <is>
          <t>Pago</t>
        </is>
      </c>
    </row>
    <row r="9" ht="20" customHeight="1">
      <c r="B9" s="23" t="inlineStr">
        <is>
          <t>10/03/2026</t>
        </is>
      </c>
      <c r="C9" s="29" t="inlineStr">
        <is>
          <t>Despesa</t>
        </is>
      </c>
      <c r="D9" s="14" t="inlineStr">
        <is>
          <t>Transporte</t>
        </is>
      </c>
      <c r="E9" s="14" t="inlineStr">
        <is>
          <t>Combustível Carro</t>
        </is>
      </c>
      <c r="F9" s="23" t="inlineStr">
        <is>
          <t>Cartão de Débito</t>
        </is>
      </c>
      <c r="G9" s="25" t="n">
        <v>220</v>
      </c>
      <c r="H9" s="24" t="inlineStr">
        <is>
          <t>Pago</t>
        </is>
      </c>
    </row>
    <row r="10" ht="20" customHeight="1">
      <c r="B10" s="26" t="inlineStr">
        <is>
          <t>12/03/2026</t>
        </is>
      </c>
      <c r="C10" s="30" t="inlineStr">
        <is>
          <t>Despesa</t>
        </is>
      </c>
      <c r="D10" s="17" t="inlineStr">
        <is>
          <t>Saúde</t>
        </is>
      </c>
      <c r="E10" s="17" t="inlineStr">
        <is>
          <t>Plano de Saúde</t>
        </is>
      </c>
      <c r="F10" s="26" t="inlineStr">
        <is>
          <t>Boleto</t>
        </is>
      </c>
      <c r="G10" s="28" t="n">
        <v>380</v>
      </c>
      <c r="H10" s="27" t="inlineStr">
        <is>
          <t>Pago</t>
        </is>
      </c>
    </row>
    <row r="11" ht="20" customHeight="1">
      <c r="B11" s="23" t="inlineStr">
        <is>
          <t>15/03/2026</t>
        </is>
      </c>
      <c r="C11" s="29" t="inlineStr">
        <is>
          <t>Despesa</t>
        </is>
      </c>
      <c r="D11" s="14" t="inlineStr">
        <is>
          <t>Lazer</t>
        </is>
      </c>
      <c r="E11" s="14" t="inlineStr">
        <is>
          <t>Jantar Fim de Semana</t>
        </is>
      </c>
      <c r="F11" s="23" t="inlineStr">
        <is>
          <t>Cartão de Crédito</t>
        </is>
      </c>
      <c r="G11" s="25" t="n">
        <v>185</v>
      </c>
      <c r="H11" s="24" t="inlineStr">
        <is>
          <t>Pago</t>
        </is>
      </c>
    </row>
    <row r="12" ht="20" customHeight="1">
      <c r="B12" s="26" t="inlineStr">
        <is>
          <t>18/03/2026</t>
        </is>
      </c>
      <c r="C12" s="30" t="inlineStr">
        <is>
          <t>Despesa</t>
        </is>
      </c>
      <c r="D12" s="17" t="inlineStr">
        <is>
          <t>Assinaturas &amp; Serviços</t>
        </is>
      </c>
      <c r="E12" s="17" t="inlineStr">
        <is>
          <t>Netflix, Spotify e Internet</t>
        </is>
      </c>
      <c r="F12" s="26" t="inlineStr">
        <is>
          <t>Cartão de Crédito</t>
        </is>
      </c>
      <c r="G12" s="28" t="n">
        <v>175.9</v>
      </c>
      <c r="H12" s="27" t="inlineStr">
        <is>
          <t>Pago</t>
        </is>
      </c>
    </row>
    <row r="13" ht="20" customHeight="1">
      <c r="B13" s="23" t="inlineStr">
        <is>
          <t>20/03/2026</t>
        </is>
      </c>
      <c r="C13" s="29" t="inlineStr">
        <is>
          <t>Despesa</t>
        </is>
      </c>
      <c r="D13" s="14" t="inlineStr">
        <is>
          <t>Educação</t>
        </is>
      </c>
      <c r="E13" s="14" t="inlineStr">
        <is>
          <t>Livros e Cursos Profissionais</t>
        </is>
      </c>
      <c r="F13" s="23" t="inlineStr">
        <is>
          <t>Cartão de Crédito</t>
        </is>
      </c>
      <c r="G13" s="25" t="n">
        <v>120</v>
      </c>
      <c r="H13" s="24" t="inlineStr">
        <is>
          <t>Pago</t>
        </is>
      </c>
    </row>
    <row r="14" ht="20" customHeight="1">
      <c r="B14" s="26" t="inlineStr">
        <is>
          <t>25/03/2026</t>
        </is>
      </c>
      <c r="C14" s="27" t="inlineStr">
        <is>
          <t>Receita</t>
        </is>
      </c>
      <c r="D14" s="17" t="inlineStr">
        <is>
          <t>Renda Extra</t>
        </is>
      </c>
      <c r="E14" s="17" t="inlineStr">
        <is>
          <t>Consultoria Freelance</t>
        </is>
      </c>
      <c r="F14" s="26" t="inlineStr">
        <is>
          <t>PIX</t>
        </is>
      </c>
      <c r="G14" s="28" t="n">
        <v>400</v>
      </c>
      <c r="H14" s="27" t="inlineStr">
        <is>
          <t>Recebido</t>
        </is>
      </c>
    </row>
    <row r="15" ht="20" customHeight="1">
      <c r="B15" s="23" t="n"/>
      <c r="C15" s="23" t="n"/>
      <c r="D15" s="14" t="n"/>
      <c r="E15" s="14" t="n"/>
      <c r="F15" s="23" t="n"/>
      <c r="G15" s="15" t="n"/>
      <c r="H15" s="23" t="n"/>
    </row>
    <row r="16" ht="20" customHeight="1">
      <c r="B16" s="26" t="n"/>
      <c r="C16" s="26" t="n"/>
      <c r="D16" s="17" t="n"/>
      <c r="E16" s="17" t="n"/>
      <c r="F16" s="26" t="n"/>
      <c r="G16" s="18" t="n"/>
      <c r="H16" s="26" t="n"/>
    </row>
    <row r="17" ht="20" customHeight="1">
      <c r="B17" s="23" t="n"/>
      <c r="C17" s="23" t="n"/>
      <c r="D17" s="14" t="n"/>
      <c r="E17" s="14" t="n"/>
      <c r="F17" s="23" t="n"/>
      <c r="G17" s="15" t="n"/>
      <c r="H17" s="23" t="n"/>
    </row>
    <row r="18" ht="20" customHeight="1">
      <c r="B18" s="26" t="n"/>
      <c r="C18" s="26" t="n"/>
      <c r="D18" s="17" t="n"/>
      <c r="E18" s="17" t="n"/>
      <c r="F18" s="26" t="n"/>
      <c r="G18" s="18" t="n"/>
      <c r="H18" s="26" t="n"/>
    </row>
    <row r="19" ht="20" customHeight="1">
      <c r="B19" s="23" t="n"/>
      <c r="C19" s="23" t="n"/>
      <c r="D19" s="14" t="n"/>
      <c r="E19" s="14" t="n"/>
      <c r="F19" s="23" t="n"/>
      <c r="G19" s="15" t="n"/>
      <c r="H19" s="23" t="n"/>
    </row>
    <row r="20" ht="20" customHeight="1">
      <c r="B20" s="26" t="n"/>
      <c r="C20" s="26" t="n"/>
      <c r="D20" s="17" t="n"/>
      <c r="E20" s="17" t="n"/>
      <c r="F20" s="26" t="n"/>
      <c r="G20" s="18" t="n"/>
      <c r="H20" s="26" t="n"/>
    </row>
    <row r="21" ht="20" customHeight="1">
      <c r="B21" s="23" t="n"/>
      <c r="C21" s="23" t="n"/>
      <c r="D21" s="14" t="n"/>
      <c r="E21" s="14" t="n"/>
      <c r="F21" s="23" t="n"/>
      <c r="G21" s="15" t="n"/>
      <c r="H21" s="23" t="n"/>
    </row>
    <row r="22" ht="20" customHeight="1">
      <c r="B22" s="26" t="n"/>
      <c r="C22" s="26" t="n"/>
      <c r="D22" s="17" t="n"/>
      <c r="E22" s="17" t="n"/>
      <c r="F22" s="26" t="n"/>
      <c r="G22" s="18" t="n"/>
      <c r="H22" s="26" t="n"/>
    </row>
    <row r="23" ht="20" customHeight="1">
      <c r="B23" s="23" t="n"/>
      <c r="C23" s="23" t="n"/>
      <c r="D23" s="14" t="n"/>
      <c r="E23" s="14" t="n"/>
      <c r="F23" s="23" t="n"/>
      <c r="G23" s="15" t="n"/>
      <c r="H23" s="23" t="n"/>
    </row>
    <row r="24" ht="20" customHeight="1">
      <c r="B24" s="26" t="n"/>
      <c r="C24" s="26" t="n"/>
      <c r="D24" s="17" t="n"/>
      <c r="E24" s="17" t="n"/>
      <c r="F24" s="26" t="n"/>
      <c r="G24" s="18" t="n"/>
      <c r="H24" s="26" t="n"/>
    </row>
    <row r="25" ht="20" customHeight="1">
      <c r="B25" s="23" t="n"/>
      <c r="C25" s="23" t="n"/>
      <c r="D25" s="14" t="n"/>
      <c r="E25" s="14" t="n"/>
      <c r="F25" s="23" t="n"/>
      <c r="G25" s="15" t="n"/>
      <c r="H25" s="23" t="n"/>
    </row>
    <row r="26" ht="20" customHeight="1">
      <c r="B26" s="26" t="n"/>
      <c r="C26" s="26" t="n"/>
      <c r="D26" s="17" t="n"/>
      <c r="E26" s="17" t="n"/>
      <c r="F26" s="26" t="n"/>
      <c r="G26" s="18" t="n"/>
      <c r="H26" s="26" t="n"/>
    </row>
    <row r="27" ht="20" customHeight="1">
      <c r="B27" s="23" t="n"/>
      <c r="C27" s="23" t="n"/>
      <c r="D27" s="14" t="n"/>
      <c r="E27" s="14" t="n"/>
      <c r="F27" s="23" t="n"/>
      <c r="G27" s="15" t="n"/>
      <c r="H27" s="23" t="n"/>
    </row>
    <row r="28" ht="20" customHeight="1">
      <c r="B28" s="26" t="n"/>
      <c r="C28" s="26" t="n"/>
      <c r="D28" s="17" t="n"/>
      <c r="E28" s="17" t="n"/>
      <c r="F28" s="26" t="n"/>
      <c r="G28" s="18" t="n"/>
      <c r="H28" s="26" t="n"/>
    </row>
    <row r="29" ht="20" customHeight="1">
      <c r="B29" s="23" t="n"/>
      <c r="C29" s="23" t="n"/>
      <c r="D29" s="14" t="n"/>
      <c r="E29" s="14" t="n"/>
      <c r="F29" s="23" t="n"/>
      <c r="G29" s="15" t="n"/>
      <c r="H29" s="23" t="n"/>
    </row>
    <row r="30" ht="20" customHeight="1">
      <c r="B30" s="26" t="n"/>
      <c r="C30" s="26" t="n"/>
      <c r="D30" s="17" t="n"/>
      <c r="E30" s="17" t="n"/>
      <c r="F30" s="26" t="n"/>
      <c r="G30" s="18" t="n"/>
      <c r="H30" s="26" t="n"/>
    </row>
    <row r="31" ht="20" customHeight="1">
      <c r="B31" s="23" t="n"/>
      <c r="C31" s="23" t="n"/>
      <c r="D31" s="14" t="n"/>
      <c r="E31" s="14" t="n"/>
      <c r="F31" s="23" t="n"/>
      <c r="G31" s="15" t="n"/>
      <c r="H31" s="23" t="n"/>
    </row>
    <row r="32" ht="20" customHeight="1">
      <c r="B32" s="26" t="n"/>
      <c r="C32" s="26" t="n"/>
      <c r="D32" s="17" t="n"/>
      <c r="E32" s="17" t="n"/>
      <c r="F32" s="26" t="n"/>
      <c r="G32" s="18" t="n"/>
      <c r="H32" s="26" t="n"/>
    </row>
    <row r="33" ht="20" customHeight="1">
      <c r="B33" s="23" t="n"/>
      <c r="C33" s="23" t="n"/>
      <c r="D33" s="14" t="n"/>
      <c r="E33" s="14" t="n"/>
      <c r="F33" s="23" t="n"/>
      <c r="G33" s="15" t="n"/>
      <c r="H33" s="23" t="n"/>
    </row>
    <row r="34" ht="20" customHeight="1">
      <c r="B34" s="26" t="n"/>
      <c r="C34" s="26" t="n"/>
      <c r="D34" s="17" t="n"/>
      <c r="E34" s="17" t="n"/>
      <c r="F34" s="26" t="n"/>
      <c r="G34" s="18" t="n"/>
      <c r="H34" s="26" t="n"/>
    </row>
    <row r="35" ht="20" customHeight="1">
      <c r="B35" s="23" t="n"/>
      <c r="C35" s="23" t="n"/>
      <c r="D35" s="14" t="n"/>
      <c r="E35" s="14" t="n"/>
      <c r="F35" s="23" t="n"/>
      <c r="G35" s="15" t="n"/>
      <c r="H35" s="23" t="n"/>
    </row>
    <row r="36" ht="20" customHeight="1">
      <c r="B36" s="26" t="n"/>
      <c r="C36" s="26" t="n"/>
      <c r="D36" s="17" t="n"/>
      <c r="E36" s="17" t="n"/>
      <c r="F36" s="26" t="n"/>
      <c r="G36" s="18" t="n"/>
      <c r="H36" s="26" t="n"/>
    </row>
    <row r="37" ht="20" customHeight="1">
      <c r="B37" s="23" t="n"/>
      <c r="C37" s="23" t="n"/>
      <c r="D37" s="14" t="n"/>
      <c r="E37" s="14" t="n"/>
      <c r="F37" s="23" t="n"/>
      <c r="G37" s="15" t="n"/>
      <c r="H37" s="23" t="n"/>
    </row>
    <row r="38" ht="20" customHeight="1">
      <c r="B38" s="26" t="n"/>
      <c r="C38" s="26" t="n"/>
      <c r="D38" s="17" t="n"/>
      <c r="E38" s="17" t="n"/>
      <c r="F38" s="26" t="n"/>
      <c r="G38" s="18" t="n"/>
      <c r="H38" s="26" t="n"/>
    </row>
    <row r="39" ht="20" customHeight="1">
      <c r="B39" s="23" t="n"/>
      <c r="C39" s="23" t="n"/>
      <c r="D39" s="14" t="n"/>
      <c r="E39" s="14" t="n"/>
      <c r="F39" s="23" t="n"/>
      <c r="G39" s="15" t="n"/>
      <c r="H39" s="23" t="n"/>
    </row>
    <row r="40" ht="20" customHeight="1">
      <c r="B40" s="26" t="n"/>
      <c r="C40" s="26" t="n"/>
      <c r="D40" s="17" t="n"/>
      <c r="E40" s="17" t="n"/>
      <c r="F40" s="26" t="n"/>
      <c r="G40" s="18" t="n"/>
      <c r="H40" s="26" t="n"/>
    </row>
    <row r="41" ht="20" customHeight="1">
      <c r="B41" s="23" t="n"/>
      <c r="C41" s="23" t="n"/>
      <c r="D41" s="14" t="n"/>
      <c r="E41" s="14" t="n"/>
      <c r="F41" s="23" t="n"/>
      <c r="G41" s="15" t="n"/>
      <c r="H41" s="23" t="n"/>
    </row>
    <row r="42" ht="20" customHeight="1">
      <c r="B42" s="26" t="n"/>
      <c r="C42" s="26" t="n"/>
      <c r="D42" s="17" t="n"/>
      <c r="E42" s="17" t="n"/>
      <c r="F42" s="26" t="n"/>
      <c r="G42" s="18" t="n"/>
      <c r="H42" s="26" t="n"/>
    </row>
    <row r="43" ht="20" customHeight="1">
      <c r="B43" s="23" t="n"/>
      <c r="C43" s="23" t="n"/>
      <c r="D43" s="14" t="n"/>
      <c r="E43" s="14" t="n"/>
      <c r="F43" s="23" t="n"/>
      <c r="G43" s="15" t="n"/>
      <c r="H43" s="23" t="n"/>
    </row>
    <row r="44" ht="20" customHeight="1">
      <c r="B44" s="26" t="n"/>
      <c r="C44" s="26" t="n"/>
      <c r="D44" s="17" t="n"/>
      <c r="E44" s="17" t="n"/>
      <c r="F44" s="26" t="n"/>
      <c r="G44" s="18" t="n"/>
      <c r="H44" s="26" t="n"/>
    </row>
    <row r="45" ht="20" customHeight="1">
      <c r="B45" s="23" t="n"/>
      <c r="C45" s="23" t="n"/>
      <c r="D45" s="14" t="n"/>
      <c r="E45" s="14" t="n"/>
      <c r="F45" s="23" t="n"/>
      <c r="G45" s="15" t="n"/>
      <c r="H45" s="23" t="n"/>
    </row>
    <row r="46" ht="20" customHeight="1">
      <c r="B46" s="26" t="n"/>
      <c r="C46" s="26" t="n"/>
      <c r="D46" s="17" t="n"/>
      <c r="E46" s="17" t="n"/>
      <c r="F46" s="26" t="n"/>
      <c r="G46" s="18" t="n"/>
      <c r="H46" s="26" t="n"/>
    </row>
    <row r="47" ht="20" customHeight="1">
      <c r="B47" s="23" t="n"/>
      <c r="C47" s="23" t="n"/>
      <c r="D47" s="14" t="n"/>
      <c r="E47" s="14" t="n"/>
      <c r="F47" s="23" t="n"/>
      <c r="G47" s="15" t="n"/>
      <c r="H47" s="23" t="n"/>
    </row>
    <row r="48" ht="20" customHeight="1">
      <c r="B48" s="26" t="n"/>
      <c r="C48" s="26" t="n"/>
      <c r="D48" s="17" t="n"/>
      <c r="E48" s="17" t="n"/>
      <c r="F48" s="26" t="n"/>
      <c r="G48" s="18" t="n"/>
      <c r="H48" s="26" t="n"/>
    </row>
    <row r="49" ht="20" customHeight="1">
      <c r="B49" s="23" t="n"/>
      <c r="C49" s="23" t="n"/>
      <c r="D49" s="14" t="n"/>
      <c r="E49" s="14" t="n"/>
      <c r="F49" s="23" t="n"/>
      <c r="G49" s="15" t="n"/>
      <c r="H49" s="23" t="n"/>
    </row>
    <row r="50" ht="20" customHeight="1">
      <c r="B50" s="26" t="n"/>
      <c r="C50" s="26" t="n"/>
      <c r="D50" s="17" t="n"/>
      <c r="E50" s="17" t="n"/>
      <c r="F50" s="26" t="n"/>
      <c r="G50" s="18" t="n"/>
      <c r="H50" s="26" t="n"/>
    </row>
    <row r="51" ht="20" customHeight="1">
      <c r="B51" s="23" t="n"/>
      <c r="C51" s="23" t="n"/>
      <c r="D51" s="14" t="n"/>
      <c r="E51" s="14" t="n"/>
      <c r="F51" s="23" t="n"/>
      <c r="G51" s="15" t="n"/>
      <c r="H51" s="23" t="n"/>
    </row>
    <row r="52" ht="20" customHeight="1">
      <c r="B52" s="26" t="n"/>
      <c r="C52" s="26" t="n"/>
      <c r="D52" s="17" t="n"/>
      <c r="E52" s="17" t="n"/>
      <c r="F52" s="26" t="n"/>
      <c r="G52" s="18" t="n"/>
      <c r="H52" s="26" t="n"/>
    </row>
    <row r="53" ht="20" customHeight="1">
      <c r="B53" s="23" t="n"/>
      <c r="C53" s="23" t="n"/>
      <c r="D53" s="14" t="n"/>
      <c r="E53" s="14" t="n"/>
      <c r="F53" s="23" t="n"/>
      <c r="G53" s="15" t="n"/>
      <c r="H53" s="23" t="n"/>
    </row>
    <row r="54" ht="20" customHeight="1">
      <c r="B54" s="26" t="n"/>
      <c r="C54" s="26" t="n"/>
      <c r="D54" s="17" t="n"/>
      <c r="E54" s="17" t="n"/>
      <c r="F54" s="26" t="n"/>
      <c r="G54" s="18" t="n"/>
      <c r="H54" s="26" t="n"/>
    </row>
    <row r="55" ht="20" customHeight="1">
      <c r="B55" s="23" t="n"/>
      <c r="C55" s="23" t="n"/>
      <c r="D55" s="14" t="n"/>
      <c r="E55" s="14" t="n"/>
      <c r="F55" s="23" t="n"/>
      <c r="G55" s="15" t="n"/>
      <c r="H55" s="23" t="n"/>
    </row>
    <row r="56" ht="20" customHeight="1">
      <c r="B56" s="26" t="n"/>
      <c r="C56" s="26" t="n"/>
      <c r="D56" s="17" t="n"/>
      <c r="E56" s="17" t="n"/>
      <c r="F56" s="26" t="n"/>
      <c r="G56" s="18" t="n"/>
      <c r="H56" s="26" t="n"/>
    </row>
    <row r="57" ht="20" customHeight="1">
      <c r="B57" s="23" t="n"/>
      <c r="C57" s="23" t="n"/>
      <c r="D57" s="14" t="n"/>
      <c r="E57" s="14" t="n"/>
      <c r="F57" s="23" t="n"/>
      <c r="G57" s="15" t="n"/>
      <c r="H57" s="23" t="n"/>
    </row>
    <row r="58" ht="20" customHeight="1">
      <c r="B58" s="26" t="n"/>
      <c r="C58" s="26" t="n"/>
      <c r="D58" s="17" t="n"/>
      <c r="E58" s="17" t="n"/>
      <c r="F58" s="26" t="n"/>
      <c r="G58" s="18" t="n"/>
      <c r="H58" s="26" t="n"/>
    </row>
    <row r="59" ht="20" customHeight="1">
      <c r="B59" s="23" t="n"/>
      <c r="C59" s="23" t="n"/>
      <c r="D59" s="14" t="n"/>
      <c r="E59" s="14" t="n"/>
      <c r="F59" s="23" t="n"/>
      <c r="G59" s="15" t="n"/>
      <c r="H59" s="23" t="n"/>
    </row>
  </sheetData>
  <mergeCells count="2">
    <mergeCell ref="B3:H3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6" customWidth="1" min="3" max="3"/>
    <col width="16" customWidth="1" min="4" max="4"/>
    <col width="21" customWidth="1" min="5" max="5"/>
    <col width="18" customWidth="1" min="6" max="6"/>
    <col width="18" customWidth="1" min="7" max="7"/>
  </cols>
  <sheetData>
    <row r="1"/>
    <row r="2" ht="32" customHeight="1">
      <c r="B2" s="1" t="inlineStr">
        <is>
          <t>CONTROLE DE CARTÕES DE CRÉDITO E FATURAS</t>
        </is>
      </c>
    </row>
    <row r="3"/>
    <row r="4" ht="22" customHeight="1">
      <c r="B4" s="13" t="inlineStr">
        <is>
          <t>Cartão / Banco</t>
        </is>
      </c>
      <c r="C4" s="13" t="inlineStr">
        <is>
          <t>Limite Total</t>
        </is>
      </c>
      <c r="D4" s="13" t="inlineStr">
        <is>
          <t>Fatura Atual</t>
        </is>
      </c>
      <c r="E4" s="13" t="inlineStr">
        <is>
          <t>Limite Disponível</t>
        </is>
      </c>
      <c r="F4" s="13" t="inlineStr">
        <is>
          <t>Dia Fechamento</t>
        </is>
      </c>
      <c r="G4" s="13" t="inlineStr">
        <is>
          <t>Dia Vencimento</t>
        </is>
      </c>
    </row>
    <row r="5" ht="20" customHeight="1">
      <c r="B5" s="31" t="inlineStr">
        <is>
          <t>Nubank Mastercard</t>
        </is>
      </c>
      <c r="C5" s="15" t="n">
        <v>5000</v>
      </c>
      <c r="D5" s="32" t="n">
        <v>1150</v>
      </c>
      <c r="E5" s="33">
        <f>C5-D5</f>
        <v/>
      </c>
      <c r="F5" s="23" t="n">
        <v>25</v>
      </c>
      <c r="G5" s="23" t="n">
        <v>5</v>
      </c>
    </row>
    <row r="6" ht="20" customHeight="1">
      <c r="B6" s="31" t="inlineStr">
        <is>
          <t>Inter Visa Gold</t>
        </is>
      </c>
      <c r="C6" s="15" t="n">
        <v>3500</v>
      </c>
      <c r="D6" s="32" t="n">
        <v>420.5</v>
      </c>
      <c r="E6" s="33">
        <f>C6-D6</f>
        <v/>
      </c>
      <c r="F6" s="23" t="n">
        <v>10</v>
      </c>
      <c r="G6" s="23" t="n">
        <v>20</v>
      </c>
    </row>
    <row r="7" ht="20" customHeight="1">
      <c r="B7" s="31" t="inlineStr">
        <is>
          <t>Itaú Click</t>
        </is>
      </c>
      <c r="C7" s="15" t="n">
        <v>4000</v>
      </c>
      <c r="D7" s="32" t="n">
        <v>0</v>
      </c>
      <c r="E7" s="33">
        <f>C7-D7</f>
        <v/>
      </c>
      <c r="F7" s="23" t="n">
        <v>15</v>
      </c>
      <c r="G7" s="23" t="n">
        <v>25</v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9" customWidth="1" min="3" max="3"/>
    <col width="20" customWidth="1" min="4" max="4"/>
    <col width="17" customWidth="1" min="5" max="5"/>
    <col width="15" customWidth="1" min="6" max="6"/>
    <col width="17" customWidth="1" min="7" max="7"/>
  </cols>
  <sheetData>
    <row r="1"/>
    <row r="2" ht="32" customHeight="1">
      <c r="B2" s="1" t="inlineStr">
        <is>
          <t>METAS DE ECONOMIA E RESERVA DE EMERGÊNCIA</t>
        </is>
      </c>
    </row>
    <row r="3"/>
    <row r="4" ht="22" customHeight="1">
      <c r="B4" s="13" t="inlineStr">
        <is>
          <t>Objetivo / Meta</t>
        </is>
      </c>
      <c r="C4" s="13" t="inlineStr">
        <is>
          <t>Valor Alvo (R$)</t>
        </is>
      </c>
      <c r="D4" s="13" t="inlineStr">
        <is>
          <t>Valor Atual (R$)</t>
        </is>
      </c>
      <c r="E4" s="13" t="inlineStr">
        <is>
          <t>Falta Guardar</t>
        </is>
      </c>
      <c r="F4" s="13" t="inlineStr">
        <is>
          <t>% Concluído</t>
        </is>
      </c>
      <c r="G4" s="13" t="inlineStr">
        <is>
          <t>Prazo</t>
        </is>
      </c>
    </row>
    <row r="5" ht="20" customHeight="1">
      <c r="B5" s="31" t="inlineStr">
        <is>
          <t>Reserva de Emergência (6 meses)</t>
        </is>
      </c>
      <c r="C5" s="15" t="n">
        <v>15000</v>
      </c>
      <c r="D5" s="33" t="n">
        <v>6500</v>
      </c>
      <c r="E5" s="15">
        <f>C5-D5</f>
        <v/>
      </c>
      <c r="F5" s="34">
        <f>D5/C5</f>
        <v/>
      </c>
      <c r="G5" s="23" t="inlineStr">
        <is>
          <t>Dezembro/2026</t>
        </is>
      </c>
    </row>
    <row r="6" ht="20" customHeight="1">
      <c r="B6" s="31" t="inlineStr">
        <is>
          <t>Viagem de Férias</t>
        </is>
      </c>
      <c r="C6" s="15" t="n">
        <v>4000</v>
      </c>
      <c r="D6" s="33" t="n">
        <v>2200</v>
      </c>
      <c r="E6" s="15">
        <f>C6-D6</f>
        <v/>
      </c>
      <c r="F6" s="34">
        <f>D6/C6</f>
        <v/>
      </c>
      <c r="G6" s="23" t="inlineStr">
        <is>
          <t>Julho/2026</t>
        </is>
      </c>
    </row>
    <row r="7" ht="20" customHeight="1">
      <c r="B7" s="31" t="inlineStr">
        <is>
          <t>Troca de Celular / Notebook</t>
        </is>
      </c>
      <c r="C7" s="15" t="n">
        <v>3500</v>
      </c>
      <c r="D7" s="33" t="n">
        <v>800</v>
      </c>
      <c r="E7" s="15">
        <f>C7-D7</f>
        <v/>
      </c>
      <c r="F7" s="34">
        <f>D7/C7</f>
        <v/>
      </c>
      <c r="G7" s="23" t="inlineStr">
        <is>
          <t>Novembro/2026</t>
        </is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2026-09-03T14:48:14Z</dcterms:created>
  <dcterms:modified xsi:type="dcterms:W3CDTF">2026-09-03T14:48:15Z</dcterms:modified>
</cp:coreProperties>
</file>